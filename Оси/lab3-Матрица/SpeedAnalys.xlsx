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Files\Code\OS\Matrix\"/>
    </mc:Choice>
  </mc:AlternateContent>
  <xr:revisionPtr revIDLastSave="0" documentId="13_ncr:1_{92722117-4426-4660-9E28-6FABA31B830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utputThread (3)" sheetId="2" r:id="rId1"/>
    <sheet name="Analys" sheetId="1" r:id="rId2"/>
  </sheets>
  <definedNames>
    <definedName name="ExternalData_1" localSheetId="0" hidden="1">'outputThread (3)'!$A$1:$D$88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" l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3" i="1"/>
  <c r="L3" i="1" s="1"/>
  <c r="D9" i="1"/>
  <c r="D10" i="1"/>
  <c r="D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E082E9-2821-4E8F-A44C-51AB732F0A13}" keepAlive="1" name="Запрос — outputThread" description="Соединение с запросом &quot;outputThread&quot; в книге." type="5" refreshedVersion="0" background="1">
    <dbPr connection="Provider=Microsoft.Mashup.OleDb.1;Data Source=$Workbook$;Location=outputThread;Extended Properties=&quot;&quot;" command="SELECT * FROM [outputThread]"/>
  </connection>
  <connection id="2" xr16:uid="{EAFAE3B6-40AB-4F38-B11C-3C27C1811F67}" keepAlive="1" name="Запрос — outputThread (2)" description="Соединение с запросом &quot;outputThread (2)&quot; в книге." type="5" refreshedVersion="0" background="1">
    <dbPr connection="Provider=Microsoft.Mashup.OleDb.1;Data Source=$Workbook$;Location=&quot;outputThread (2)&quot;;Extended Properties=&quot;&quot;" command="SELECT * FROM [outputThread (2)]"/>
  </connection>
  <connection id="3" xr16:uid="{0B90387D-FBCD-4852-9306-DB8C2B6A5423}" keepAlive="1" name="Запрос — outputThread (3)" description="Соединение с запросом &quot;outputThread (3)&quot; в книге." type="5" refreshedVersion="8" background="1" saveData="1">
    <dbPr connection="Provider=Microsoft.Mashup.OleDb.1;Data Source=$Workbook$;Location=&quot;outputThread (3)&quot;;Extended Properties=&quot;&quot;" command="SELECT * FROM [outputThread (3)]"/>
  </connection>
</connections>
</file>

<file path=xl/sharedStrings.xml><?xml version="1.0" encoding="utf-8"?>
<sst xmlns="http://schemas.openxmlformats.org/spreadsheetml/2006/main" count="106" uniqueCount="17">
  <si>
    <t>Обычное умножение</t>
  </si>
  <si>
    <t>n</t>
  </si>
  <si>
    <t>ms</t>
  </si>
  <si>
    <t>ms (среднее)</t>
  </si>
  <si>
    <t>Выводы:</t>
  </si>
  <si>
    <t>Умножение по потокам</t>
  </si>
  <si>
    <t>Размер блока</t>
  </si>
  <si>
    <t>n (сторона матрицы)</t>
  </si>
  <si>
    <t>Column1</t>
  </si>
  <si>
    <t>Column2</t>
  </si>
  <si>
    <t>Column3</t>
  </si>
  <si>
    <t>Column4</t>
  </si>
  <si>
    <t/>
  </si>
  <si>
    <t>Умножение по потокам среднее</t>
  </si>
  <si>
    <t>log</t>
  </si>
  <si>
    <t>Тесты проводились с библиотекой thread на винде. Шкалы логарифмические, поскольку на обычных шкалах столбцы где мало потоков улетали сильно вверх и график терялся. Из общих выводов - потоки это круто, и максимальное ускорение было в 6.7 раз. И, что интересно, на больших матрицах ускорение было намного сильнее. Максимальная эффективность была при разбиении на 8 и 64 потоков. Процессор как раз четырехядерный</t>
  </si>
  <si>
    <t>PS Можно заметить, как при уменьшении числа потоков выше 64 видно что график становится практически линейным, а тк график логарифмический это соответствует уменьшению скорости в 8 с копейкамии раз при уменьшении числа потоков в 8 раз. Что еще раз подтверждает что процессор дошел до максимума обрабатываемых потоков одновременно. К тому же я проводил тесты при другом способе разбиения блоков, и там максимум скорости был при 16 потоках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</si>
</sst>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0" fontId="0" fillId="3" borderId="0" xfId="0" applyFill="1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0" fillId="2" borderId="0" xfId="0" applyFill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wrapText="1"/>
    </xf>
    <xf numFmtId="0" fontId="0" fillId="4" borderId="0" xfId="0" applyFill="1" applyAlignment="1">
      <alignment horizontal="center" wrapText="1"/>
    </xf>
  </cellXfs>
  <cellStyles count="1">
    <cellStyle name="Обычный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482955659797034E-2"/>
          <c:y val="4.9382716049382713E-2"/>
          <c:w val="0.92704920735790841"/>
          <c:h val="0.89444979099834743"/>
        </c:manualLayout>
      </c:layout>
      <c:barChart>
        <c:barDir val="col"/>
        <c:grouping val="clustered"/>
        <c:varyColors val="0"/>
        <c:ser>
          <c:idx val="0"/>
          <c:order val="0"/>
          <c:tx>
            <c:v>Логарифм времени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Analys!$I$3:$I$10</c:f>
              <c:numCache>
                <c:formatCode>General</c:formatCode>
                <c:ptCount val="8"/>
                <c:pt idx="0">
                  <c:v>100</c:v>
                </c:pt>
                <c:pt idx="1">
                  <c:v>64</c:v>
                </c:pt>
                <c:pt idx="2">
                  <c:v>32</c:v>
                </c:pt>
                <c:pt idx="3">
                  <c:v>16</c:v>
                </c:pt>
                <c:pt idx="4">
                  <c:v>8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</c:numCache>
            </c:numRef>
          </c:cat>
          <c:val>
            <c:numRef>
              <c:f>Analys!$L$3:$L$10</c:f>
              <c:numCache>
                <c:formatCode>0.0</c:formatCode>
                <c:ptCount val="8"/>
                <c:pt idx="0">
                  <c:v>1.3219280948873624</c:v>
                </c:pt>
                <c:pt idx="1">
                  <c:v>2.2016338611696504</c:v>
                </c:pt>
                <c:pt idx="2">
                  <c:v>3.3219280948873626</c:v>
                </c:pt>
                <c:pt idx="3">
                  <c:v>4.1898245588800176</c:v>
                </c:pt>
                <c:pt idx="4">
                  <c:v>6.5698556083309478</c:v>
                </c:pt>
                <c:pt idx="5">
                  <c:v>9.2390017577655836</c:v>
                </c:pt>
                <c:pt idx="6">
                  <c:v>12.484235494789949</c:v>
                </c:pt>
                <c:pt idx="7">
                  <c:v>17.030042028382095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FB-46E4-B437-897010952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5242831"/>
        <c:axId val="645244751"/>
      </c:barChart>
      <c:catAx>
        <c:axId val="645242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5244751"/>
        <c:crosses val="autoZero"/>
        <c:auto val="1"/>
        <c:lblAlgn val="ctr"/>
        <c:lblOffset val="100"/>
        <c:noMultiLvlLbl val="0"/>
      </c:catAx>
      <c:valAx>
        <c:axId val="64524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5242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2482955659797034E-2"/>
          <c:y val="4.9382716049382713E-2"/>
          <c:w val="0.92704920735790841"/>
          <c:h val="0.8944497909983474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Analys!$I$11:$I$18</c:f>
              <c:numCache>
                <c:formatCode>General</c:formatCode>
                <c:ptCount val="8"/>
                <c:pt idx="0">
                  <c:v>300</c:v>
                </c:pt>
                <c:pt idx="1">
                  <c:v>256</c:v>
                </c:pt>
                <c:pt idx="2">
                  <c:v>128</c:v>
                </c:pt>
                <c:pt idx="3">
                  <c:v>64</c:v>
                </c:pt>
                <c:pt idx="4">
                  <c:v>32</c:v>
                </c:pt>
                <c:pt idx="5">
                  <c:v>16</c:v>
                </c:pt>
                <c:pt idx="6">
                  <c:v>8</c:v>
                </c:pt>
                <c:pt idx="7">
                  <c:v>4</c:v>
                </c:pt>
              </c:numCache>
            </c:numRef>
          </c:cat>
          <c:val>
            <c:numRef>
              <c:f>Analys!$L$11:$L$18</c:f>
              <c:numCache>
                <c:formatCode>0.0</c:formatCode>
                <c:ptCount val="8"/>
                <c:pt idx="0">
                  <c:v>5.6653359171851765</c:v>
                </c:pt>
                <c:pt idx="1">
                  <c:v>5.4757334309663985</c:v>
                </c:pt>
                <c:pt idx="2">
                  <c:v>4</c:v>
                </c:pt>
                <c:pt idx="3">
                  <c:v>4.2667865406949019</c:v>
                </c:pt>
                <c:pt idx="4">
                  <c:v>5.6934869574993252</c:v>
                </c:pt>
                <c:pt idx="5">
                  <c:v>8.236014191900086</c:v>
                </c:pt>
                <c:pt idx="6">
                  <c:v>11.275251543470327</c:v>
                </c:pt>
                <c:pt idx="7">
                  <c:v>14.839170975336589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E-4F02-B4C4-A522A7FDB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5242831"/>
        <c:axId val="645244751"/>
      </c:barChart>
      <c:catAx>
        <c:axId val="645242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5244751"/>
        <c:crosses val="autoZero"/>
        <c:auto val="1"/>
        <c:lblAlgn val="ctr"/>
        <c:lblOffset val="100"/>
        <c:noMultiLvlLbl val="0"/>
      </c:catAx>
      <c:valAx>
        <c:axId val="64524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5242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2482955659797034E-2"/>
          <c:y val="4.9382716049382713E-2"/>
          <c:w val="0.92704920735790841"/>
          <c:h val="0.8944497909983474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Analys!$I$19:$I$25</c:f>
              <c:numCache>
                <c:formatCode>General</c:formatCode>
                <c:ptCount val="7"/>
                <c:pt idx="0">
                  <c:v>500</c:v>
                </c:pt>
                <c:pt idx="1">
                  <c:v>256</c:v>
                </c:pt>
                <c:pt idx="2">
                  <c:v>128</c:v>
                </c:pt>
                <c:pt idx="3">
                  <c:v>64</c:v>
                </c:pt>
                <c:pt idx="4">
                  <c:v>32</c:v>
                </c:pt>
                <c:pt idx="5">
                  <c:v>16</c:v>
                </c:pt>
                <c:pt idx="6">
                  <c:v>8</c:v>
                </c:pt>
              </c:numCache>
            </c:numRef>
          </c:cat>
          <c:val>
            <c:numRef>
              <c:f>Analys!$L$19:$L$25</c:f>
              <c:numCache>
                <c:formatCode>0.0</c:formatCode>
                <c:ptCount val="7"/>
                <c:pt idx="0">
                  <c:v>7.965784284662087</c:v>
                </c:pt>
                <c:pt idx="1">
                  <c:v>6.0168082876865547</c:v>
                </c:pt>
                <c:pt idx="2">
                  <c:v>5.8948177633079437</c:v>
                </c:pt>
                <c:pt idx="3">
                  <c:v>6.3264294871223026</c:v>
                </c:pt>
                <c:pt idx="4">
                  <c:v>7.7632123668144004</c:v>
                </c:pt>
                <c:pt idx="5">
                  <c:v>10.510022358813766</c:v>
                </c:pt>
                <c:pt idx="6">
                  <c:v>13.847840355630714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B6-4250-8E25-867CCD263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5242831"/>
        <c:axId val="645244751"/>
      </c:barChart>
      <c:catAx>
        <c:axId val="645242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5244751"/>
        <c:crosses val="autoZero"/>
        <c:auto val="1"/>
        <c:lblAlgn val="ctr"/>
        <c:lblOffset val="100"/>
        <c:noMultiLvlLbl val="0"/>
      </c:catAx>
      <c:valAx>
        <c:axId val="64524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5242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112667</xdr:colOff>
      <xdr:row>0</xdr:row>
      <xdr:rowOff>113756</xdr:rowOff>
    </xdr:from>
    <xdr:to>
      <xdr:col>23</xdr:col>
      <xdr:colOff>471896</xdr:colOff>
      <xdr:row>18</xdr:row>
      <xdr:rowOff>48440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B4F21C6-6FC1-FF5B-1F79-BD77B07459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126818</xdr:colOff>
      <xdr:row>0</xdr:row>
      <xdr:rowOff>57150</xdr:rowOff>
    </xdr:from>
    <xdr:to>
      <xdr:col>23</xdr:col>
      <xdr:colOff>347798</xdr:colOff>
      <xdr:row>1</xdr:row>
      <xdr:rowOff>156210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E9CFDB5-67C4-C020-1964-67935CA2CA0A}"/>
            </a:ext>
          </a:extLst>
        </xdr:cNvPr>
        <xdr:cNvSpPr txBox="1"/>
      </xdr:nvSpPr>
      <xdr:spPr>
        <a:xfrm>
          <a:off x="15595418" y="57150"/>
          <a:ext cx="830580" cy="289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rgbClr val="FF0000"/>
              </a:solidFill>
            </a:rPr>
            <a:t>N=100</a:t>
          </a:r>
          <a:endParaRPr lang="ru-RU" sz="160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94161</xdr:colOff>
      <xdr:row>18</xdr:row>
      <xdr:rowOff>46264</xdr:rowOff>
    </xdr:from>
    <xdr:to>
      <xdr:col>23</xdr:col>
      <xdr:colOff>453390</xdr:colOff>
      <xdr:row>36</xdr:row>
      <xdr:rowOff>32112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A8A5BB5-7840-4D0B-A68E-9F9DE4F91B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237854</xdr:colOff>
      <xdr:row>18</xdr:row>
      <xdr:rowOff>109400</xdr:rowOff>
    </xdr:from>
    <xdr:to>
      <xdr:col>23</xdr:col>
      <xdr:colOff>458834</xdr:colOff>
      <xdr:row>20</xdr:row>
      <xdr:rowOff>23403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CA45C50-A95C-40DE-A328-B72C089BD674}"/>
            </a:ext>
          </a:extLst>
        </xdr:cNvPr>
        <xdr:cNvSpPr txBox="1"/>
      </xdr:nvSpPr>
      <xdr:spPr>
        <a:xfrm>
          <a:off x="15706454" y="3538400"/>
          <a:ext cx="830580" cy="2950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rgbClr val="FF0000"/>
              </a:solidFill>
            </a:rPr>
            <a:t>N=300</a:t>
          </a:r>
          <a:endParaRPr lang="ru-RU" sz="160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101782</xdr:colOff>
      <xdr:row>37</xdr:row>
      <xdr:rowOff>102870</xdr:rowOff>
    </xdr:from>
    <xdr:to>
      <xdr:col>23</xdr:col>
      <xdr:colOff>461011</xdr:colOff>
      <xdr:row>55</xdr:row>
      <xdr:rowOff>81098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E89F7560-4CD5-41B9-9D24-4114C153D3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604702</xdr:colOff>
      <xdr:row>38</xdr:row>
      <xdr:rowOff>73478</xdr:rowOff>
    </xdr:from>
    <xdr:to>
      <xdr:col>23</xdr:col>
      <xdr:colOff>216082</xdr:colOff>
      <xdr:row>39</xdr:row>
      <xdr:rowOff>172537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5AB120A-3948-4D75-8BAB-3D81E0D40B36}"/>
            </a:ext>
          </a:extLst>
        </xdr:cNvPr>
        <xdr:cNvSpPr txBox="1"/>
      </xdr:nvSpPr>
      <xdr:spPr>
        <a:xfrm>
          <a:off x="15463702" y="7312478"/>
          <a:ext cx="830580" cy="2895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rgbClr val="FF0000"/>
              </a:solidFill>
            </a:rPr>
            <a:t>N=500</a:t>
          </a:r>
          <a:endParaRPr lang="ru-RU" sz="160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415291</xdr:colOff>
      <xdr:row>16</xdr:row>
      <xdr:rowOff>52795</xdr:rowOff>
    </xdr:from>
    <xdr:to>
      <xdr:col>23</xdr:col>
      <xdr:colOff>377191</xdr:colOff>
      <xdr:row>16</xdr:row>
      <xdr:rowOff>68035</xdr:rowOff>
    </xdr:to>
    <xdr:cxnSp macro="">
      <xdr:nvCxnSpPr>
        <xdr:cNvPr id="12" name="Прямая соединительная линия 11">
          <a:extLst>
            <a:ext uri="{FF2B5EF4-FFF2-40B4-BE49-F238E27FC236}">
              <a16:creationId xmlns:a16="http://schemas.microsoft.com/office/drawing/2014/main" id="{767741A7-9E16-6ECB-5A2E-F9DB1271C7C7}"/>
            </a:ext>
          </a:extLst>
        </xdr:cNvPr>
        <xdr:cNvCxnSpPr/>
      </xdr:nvCxnSpPr>
      <xdr:spPr>
        <a:xfrm>
          <a:off x="9787891" y="3100795"/>
          <a:ext cx="6667500" cy="15240"/>
        </a:xfrm>
        <a:prstGeom prst="line">
          <a:avLst/>
        </a:prstGeom>
        <a:ln w="12700"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425087</xdr:colOff>
      <xdr:row>30</xdr:row>
      <xdr:rowOff>22315</xdr:rowOff>
    </xdr:from>
    <xdr:to>
      <xdr:col>23</xdr:col>
      <xdr:colOff>150767</xdr:colOff>
      <xdr:row>30</xdr:row>
      <xdr:rowOff>37555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89240869-9655-493B-A5A7-978134DAE969}"/>
            </a:ext>
          </a:extLst>
        </xdr:cNvPr>
        <xdr:cNvCxnSpPr/>
      </xdr:nvCxnSpPr>
      <xdr:spPr>
        <a:xfrm>
          <a:off x="9797687" y="5737315"/>
          <a:ext cx="6431280" cy="15240"/>
        </a:xfrm>
        <a:prstGeom prst="line">
          <a:avLst/>
        </a:prstGeom>
        <a:ln w="12700"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364128</xdr:colOff>
      <xdr:row>45</xdr:row>
      <xdr:rowOff>151855</xdr:rowOff>
    </xdr:from>
    <xdr:to>
      <xdr:col>23</xdr:col>
      <xdr:colOff>257448</xdr:colOff>
      <xdr:row>45</xdr:row>
      <xdr:rowOff>187778</xdr:rowOff>
    </xdr:to>
    <xdr:cxnSp macro="">
      <xdr:nvCxnSpPr>
        <xdr:cNvPr id="16" name="Прямая соединительная линия 15">
          <a:extLst>
            <a:ext uri="{FF2B5EF4-FFF2-40B4-BE49-F238E27FC236}">
              <a16:creationId xmlns:a16="http://schemas.microsoft.com/office/drawing/2014/main" id="{DBCBE38B-E910-4F59-BBAD-A65D95621BB6}"/>
            </a:ext>
          </a:extLst>
        </xdr:cNvPr>
        <xdr:cNvCxnSpPr/>
      </xdr:nvCxnSpPr>
      <xdr:spPr>
        <a:xfrm>
          <a:off x="9736728" y="8724355"/>
          <a:ext cx="6598920" cy="35923"/>
        </a:xfrm>
        <a:prstGeom prst="line">
          <a:avLst/>
        </a:prstGeom>
        <a:ln w="12700"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FC383BD-AFA3-4EB7-8A94-3535E2A18AF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474013-51A2-4374-B8FF-E7A1CFEDB21E}" name="outputThread__3" displayName="outputThread__3" ref="A1:D88" tableType="queryTable" totalsRowShown="0">
  <autoFilter ref="A1:D88" xr:uid="{AD474013-51A2-4374-B8FF-E7A1CFEDB21E}"/>
  <tableColumns count="4">
    <tableColumn id="1" xr3:uid="{B9187A80-00EA-456E-8A56-36C5781C099D}" uniqueName="1" name="Column1" queryTableFieldId="1"/>
    <tableColumn id="2" xr3:uid="{FA50B337-9F2A-4641-85D4-50CA4FF0A81B}" uniqueName="2" name="Column2" queryTableFieldId="2"/>
    <tableColumn id="3" xr3:uid="{756D5D57-F6A5-49C5-8D8A-4429E644C137}" uniqueName="3" name="Column3" queryTableFieldId="3"/>
    <tableColumn id="4" xr3:uid="{2A0D2279-F898-467F-A4DC-C5A0E0E62D12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0F3D0-62F6-436D-9A7D-D81B90F64E79}">
  <dimension ref="A1:D88"/>
  <sheetViews>
    <sheetView workbookViewId="0">
      <selection activeCell="A2" sqref="A2:C88"/>
    </sheetView>
  </sheetViews>
  <sheetFormatPr defaultRowHeight="14.4" x14ac:dyDescent="0.3"/>
  <cols>
    <col min="1" max="4" width="10.77734375" bestFit="1" customWidth="1"/>
  </cols>
  <sheetData>
    <row r="1" spans="1:4" x14ac:dyDescent="0.3">
      <c r="A1" t="s">
        <v>8</v>
      </c>
      <c r="B1" t="s">
        <v>9</v>
      </c>
      <c r="C1" t="s">
        <v>10</v>
      </c>
      <c r="D1" t="s">
        <v>11</v>
      </c>
    </row>
    <row r="2" spans="1:4" x14ac:dyDescent="0.3">
      <c r="A2">
        <v>64</v>
      </c>
      <c r="B2">
        <v>100</v>
      </c>
      <c r="C2">
        <v>11</v>
      </c>
      <c r="D2" t="s">
        <v>12</v>
      </c>
    </row>
    <row r="3" spans="1:4" x14ac:dyDescent="0.3">
      <c r="A3">
        <v>100</v>
      </c>
      <c r="B3">
        <v>100</v>
      </c>
      <c r="C3">
        <v>3</v>
      </c>
      <c r="D3" t="s">
        <v>12</v>
      </c>
    </row>
    <row r="4" spans="1:4" x14ac:dyDescent="0.3">
      <c r="A4">
        <v>64</v>
      </c>
      <c r="B4">
        <v>100</v>
      </c>
      <c r="C4">
        <v>3</v>
      </c>
      <c r="D4" t="s">
        <v>12</v>
      </c>
    </row>
    <row r="5" spans="1:4" x14ac:dyDescent="0.3">
      <c r="A5">
        <v>32</v>
      </c>
      <c r="B5">
        <v>100</v>
      </c>
      <c r="C5">
        <v>9</v>
      </c>
      <c r="D5" t="s">
        <v>12</v>
      </c>
    </row>
    <row r="6" spans="1:4" x14ac:dyDescent="0.3">
      <c r="A6">
        <v>16</v>
      </c>
      <c r="B6">
        <v>100</v>
      </c>
      <c r="C6">
        <v>17</v>
      </c>
      <c r="D6" t="s">
        <v>12</v>
      </c>
    </row>
    <row r="7" spans="1:4" x14ac:dyDescent="0.3">
      <c r="A7">
        <v>8</v>
      </c>
      <c r="B7">
        <v>100</v>
      </c>
      <c r="C7">
        <v>93</v>
      </c>
      <c r="D7" t="s">
        <v>12</v>
      </c>
    </row>
    <row r="8" spans="1:4" x14ac:dyDescent="0.3">
      <c r="A8">
        <v>4</v>
      </c>
      <c r="B8">
        <v>100</v>
      </c>
      <c r="C8">
        <v>582</v>
      </c>
      <c r="D8" t="s">
        <v>12</v>
      </c>
    </row>
    <row r="9" spans="1:4" x14ac:dyDescent="0.3">
      <c r="A9">
        <v>300</v>
      </c>
      <c r="B9">
        <v>300</v>
      </c>
      <c r="C9">
        <v>41</v>
      </c>
      <c r="D9" t="s">
        <v>12</v>
      </c>
    </row>
    <row r="10" spans="1:4" x14ac:dyDescent="0.3">
      <c r="A10">
        <v>256</v>
      </c>
      <c r="B10">
        <v>300</v>
      </c>
      <c r="C10">
        <v>53</v>
      </c>
      <c r="D10" t="s">
        <v>12</v>
      </c>
    </row>
    <row r="11" spans="1:4" x14ac:dyDescent="0.3">
      <c r="A11">
        <v>128</v>
      </c>
      <c r="B11">
        <v>300</v>
      </c>
      <c r="C11">
        <v>15</v>
      </c>
      <c r="D11" t="s">
        <v>12</v>
      </c>
    </row>
    <row r="12" spans="1:4" x14ac:dyDescent="0.3">
      <c r="A12">
        <v>64</v>
      </c>
      <c r="B12">
        <v>300</v>
      </c>
      <c r="C12">
        <v>15</v>
      </c>
      <c r="D12" t="s">
        <v>12</v>
      </c>
    </row>
    <row r="13" spans="1:4" x14ac:dyDescent="0.3">
      <c r="A13">
        <v>32</v>
      </c>
      <c r="B13">
        <v>300</v>
      </c>
      <c r="C13">
        <v>50</v>
      </c>
      <c r="D13" t="s">
        <v>12</v>
      </c>
    </row>
    <row r="14" spans="1:4" x14ac:dyDescent="0.3">
      <c r="A14">
        <v>16</v>
      </c>
      <c r="B14">
        <v>300</v>
      </c>
      <c r="C14">
        <v>284</v>
      </c>
      <c r="D14" t="s">
        <v>12</v>
      </c>
    </row>
    <row r="15" spans="1:4" x14ac:dyDescent="0.3">
      <c r="A15">
        <v>8</v>
      </c>
      <c r="B15">
        <v>300</v>
      </c>
      <c r="C15">
        <v>2391</v>
      </c>
      <c r="D15" t="s">
        <v>12</v>
      </c>
    </row>
    <row r="16" spans="1:4" x14ac:dyDescent="0.3">
      <c r="A16">
        <v>500</v>
      </c>
      <c r="B16">
        <v>500</v>
      </c>
      <c r="C16">
        <v>174</v>
      </c>
      <c r="D16" t="s">
        <v>12</v>
      </c>
    </row>
    <row r="17" spans="1:4" x14ac:dyDescent="0.3">
      <c r="A17">
        <v>256</v>
      </c>
      <c r="B17">
        <v>500</v>
      </c>
      <c r="C17">
        <v>54</v>
      </c>
      <c r="D17" t="s">
        <v>12</v>
      </c>
    </row>
    <row r="18" spans="1:4" x14ac:dyDescent="0.3">
      <c r="A18">
        <v>128</v>
      </c>
      <c r="B18">
        <v>500</v>
      </c>
      <c r="C18">
        <v>55</v>
      </c>
      <c r="D18" t="s">
        <v>12</v>
      </c>
    </row>
    <row r="19" spans="1:4" x14ac:dyDescent="0.3">
      <c r="A19">
        <v>64</v>
      </c>
      <c r="B19">
        <v>500</v>
      </c>
      <c r="C19">
        <v>63</v>
      </c>
      <c r="D19" t="s">
        <v>12</v>
      </c>
    </row>
    <row r="20" spans="1:4" x14ac:dyDescent="0.3">
      <c r="A20">
        <v>32</v>
      </c>
      <c r="B20">
        <v>500</v>
      </c>
      <c r="C20">
        <v>198</v>
      </c>
      <c r="D20" t="s">
        <v>12</v>
      </c>
    </row>
    <row r="21" spans="1:4" x14ac:dyDescent="0.3">
      <c r="A21">
        <v>16</v>
      </c>
      <c r="B21">
        <v>500</v>
      </c>
      <c r="C21">
        <v>1365</v>
      </c>
      <c r="D21" t="s">
        <v>12</v>
      </c>
    </row>
    <row r="22" spans="1:4" x14ac:dyDescent="0.3">
      <c r="A22">
        <v>100</v>
      </c>
      <c r="B22">
        <v>100</v>
      </c>
      <c r="C22">
        <v>5</v>
      </c>
      <c r="D22" t="s">
        <v>12</v>
      </c>
    </row>
    <row r="23" spans="1:4" x14ac:dyDescent="0.3">
      <c r="A23">
        <v>64</v>
      </c>
      <c r="B23">
        <v>100</v>
      </c>
      <c r="C23">
        <v>4</v>
      </c>
      <c r="D23" t="s">
        <v>12</v>
      </c>
    </row>
    <row r="24" spans="1:4" x14ac:dyDescent="0.3">
      <c r="A24">
        <v>32</v>
      </c>
      <c r="B24">
        <v>100</v>
      </c>
      <c r="C24">
        <v>9</v>
      </c>
      <c r="D24" t="s">
        <v>12</v>
      </c>
    </row>
    <row r="25" spans="1:4" x14ac:dyDescent="0.3">
      <c r="A25">
        <v>16</v>
      </c>
      <c r="B25">
        <v>100</v>
      </c>
      <c r="C25">
        <v>17</v>
      </c>
      <c r="D25" t="s">
        <v>12</v>
      </c>
    </row>
    <row r="26" spans="1:4" x14ac:dyDescent="0.3">
      <c r="A26">
        <v>8</v>
      </c>
      <c r="B26">
        <v>100</v>
      </c>
      <c r="C26">
        <v>92</v>
      </c>
      <c r="D26" t="s">
        <v>12</v>
      </c>
    </row>
    <row r="27" spans="1:4" x14ac:dyDescent="0.3">
      <c r="A27">
        <v>4</v>
      </c>
      <c r="B27">
        <v>100</v>
      </c>
      <c r="C27">
        <v>572</v>
      </c>
      <c r="D27" t="s">
        <v>12</v>
      </c>
    </row>
    <row r="28" spans="1:4" x14ac:dyDescent="0.3">
      <c r="A28">
        <v>2</v>
      </c>
      <c r="B28">
        <v>100</v>
      </c>
      <c r="C28">
        <v>5305</v>
      </c>
      <c r="D28" t="s">
        <v>12</v>
      </c>
    </row>
    <row r="29" spans="1:4" x14ac:dyDescent="0.3">
      <c r="A29">
        <v>300</v>
      </c>
      <c r="B29">
        <v>300</v>
      </c>
      <c r="C29">
        <v>78</v>
      </c>
      <c r="D29" t="s">
        <v>12</v>
      </c>
    </row>
    <row r="30" spans="1:4" x14ac:dyDescent="0.3">
      <c r="A30">
        <v>256</v>
      </c>
      <c r="B30">
        <v>300</v>
      </c>
      <c r="C30">
        <v>57</v>
      </c>
      <c r="D30" t="s">
        <v>12</v>
      </c>
    </row>
    <row r="31" spans="1:4" x14ac:dyDescent="0.3">
      <c r="A31">
        <v>128</v>
      </c>
      <c r="B31">
        <v>300</v>
      </c>
      <c r="C31">
        <v>15</v>
      </c>
      <c r="D31" t="s">
        <v>12</v>
      </c>
    </row>
    <row r="32" spans="1:4" x14ac:dyDescent="0.3">
      <c r="A32">
        <v>64</v>
      </c>
      <c r="B32">
        <v>300</v>
      </c>
      <c r="C32">
        <v>15</v>
      </c>
      <c r="D32" t="s">
        <v>12</v>
      </c>
    </row>
    <row r="33" spans="1:4" x14ac:dyDescent="0.3">
      <c r="A33">
        <v>32</v>
      </c>
      <c r="B33">
        <v>300</v>
      </c>
      <c r="C33">
        <v>44</v>
      </c>
      <c r="D33" t="s">
        <v>12</v>
      </c>
    </row>
    <row r="34" spans="1:4" x14ac:dyDescent="0.3">
      <c r="A34">
        <v>16</v>
      </c>
      <c r="B34">
        <v>300</v>
      </c>
      <c r="C34">
        <v>278</v>
      </c>
      <c r="D34" t="s">
        <v>12</v>
      </c>
    </row>
    <row r="35" spans="1:4" x14ac:dyDescent="0.3">
      <c r="A35">
        <v>8</v>
      </c>
      <c r="B35">
        <v>300</v>
      </c>
      <c r="C35">
        <v>2136</v>
      </c>
      <c r="D35" t="s">
        <v>12</v>
      </c>
    </row>
    <row r="36" spans="1:4" x14ac:dyDescent="0.3">
      <c r="A36">
        <v>4</v>
      </c>
      <c r="B36">
        <v>300</v>
      </c>
      <c r="C36">
        <v>32066</v>
      </c>
      <c r="D36" t="s">
        <v>12</v>
      </c>
    </row>
    <row r="37" spans="1:4" x14ac:dyDescent="0.3">
      <c r="A37">
        <v>500</v>
      </c>
      <c r="B37">
        <v>500</v>
      </c>
      <c r="C37">
        <v>329</v>
      </c>
      <c r="D37" t="s">
        <v>12</v>
      </c>
    </row>
    <row r="38" spans="1:4" x14ac:dyDescent="0.3">
      <c r="A38">
        <v>256</v>
      </c>
      <c r="B38">
        <v>500</v>
      </c>
      <c r="C38">
        <v>56</v>
      </c>
      <c r="D38" t="s">
        <v>12</v>
      </c>
    </row>
    <row r="39" spans="1:4" x14ac:dyDescent="0.3">
      <c r="A39">
        <v>128</v>
      </c>
      <c r="B39">
        <v>500</v>
      </c>
      <c r="C39">
        <v>74</v>
      </c>
      <c r="D39" t="s">
        <v>12</v>
      </c>
    </row>
    <row r="40" spans="1:4" x14ac:dyDescent="0.3">
      <c r="A40">
        <v>64</v>
      </c>
      <c r="B40">
        <v>500</v>
      </c>
      <c r="C40">
        <v>100</v>
      </c>
      <c r="D40" t="s">
        <v>12</v>
      </c>
    </row>
    <row r="41" spans="1:4" x14ac:dyDescent="0.3">
      <c r="A41">
        <v>32</v>
      </c>
      <c r="B41">
        <v>500</v>
      </c>
      <c r="C41">
        <v>213</v>
      </c>
      <c r="D41" t="s">
        <v>12</v>
      </c>
    </row>
    <row r="42" spans="1:4" x14ac:dyDescent="0.3">
      <c r="A42">
        <v>16</v>
      </c>
      <c r="B42">
        <v>500</v>
      </c>
      <c r="C42">
        <v>1438</v>
      </c>
      <c r="D42" t="s">
        <v>12</v>
      </c>
    </row>
    <row r="43" spans="1:4" x14ac:dyDescent="0.3">
      <c r="A43">
        <v>8</v>
      </c>
      <c r="B43">
        <v>500</v>
      </c>
      <c r="C43">
        <v>15479</v>
      </c>
      <c r="D43" t="s">
        <v>12</v>
      </c>
    </row>
    <row r="44" spans="1:4" x14ac:dyDescent="0.3">
      <c r="A44">
        <v>100</v>
      </c>
      <c r="B44">
        <v>100</v>
      </c>
      <c r="C44">
        <v>1</v>
      </c>
      <c r="D44" t="s">
        <v>12</v>
      </c>
    </row>
    <row r="45" spans="1:4" x14ac:dyDescent="0.3">
      <c r="A45">
        <v>64</v>
      </c>
      <c r="B45">
        <v>100</v>
      </c>
      <c r="C45">
        <v>2</v>
      </c>
      <c r="D45" t="s">
        <v>12</v>
      </c>
    </row>
    <row r="46" spans="1:4" x14ac:dyDescent="0.3">
      <c r="A46">
        <v>32</v>
      </c>
      <c r="B46">
        <v>100</v>
      </c>
      <c r="C46">
        <v>11</v>
      </c>
      <c r="D46" t="s">
        <v>12</v>
      </c>
    </row>
    <row r="47" spans="1:4" x14ac:dyDescent="0.3">
      <c r="A47">
        <v>16</v>
      </c>
      <c r="B47">
        <v>100</v>
      </c>
      <c r="C47">
        <v>21</v>
      </c>
      <c r="D47" t="s">
        <v>12</v>
      </c>
    </row>
    <row r="48" spans="1:4" x14ac:dyDescent="0.3">
      <c r="A48">
        <v>8</v>
      </c>
      <c r="B48">
        <v>100</v>
      </c>
      <c r="C48">
        <v>98</v>
      </c>
      <c r="D48" t="s">
        <v>12</v>
      </c>
    </row>
    <row r="49" spans="1:4" x14ac:dyDescent="0.3">
      <c r="A49">
        <v>4</v>
      </c>
      <c r="B49">
        <v>100</v>
      </c>
      <c r="C49">
        <v>599</v>
      </c>
      <c r="D49" t="s">
        <v>12</v>
      </c>
    </row>
    <row r="50" spans="1:4" x14ac:dyDescent="0.3">
      <c r="A50">
        <v>2</v>
      </c>
      <c r="B50">
        <v>100</v>
      </c>
      <c r="C50">
        <v>5706</v>
      </c>
      <c r="D50" t="s">
        <v>12</v>
      </c>
    </row>
    <row r="51" spans="1:4" x14ac:dyDescent="0.3">
      <c r="A51">
        <v>300</v>
      </c>
      <c r="B51">
        <v>300</v>
      </c>
      <c r="C51">
        <v>32</v>
      </c>
      <c r="D51" t="s">
        <v>12</v>
      </c>
    </row>
    <row r="52" spans="1:4" x14ac:dyDescent="0.3">
      <c r="A52">
        <v>256</v>
      </c>
      <c r="B52">
        <v>300</v>
      </c>
      <c r="C52">
        <v>21</v>
      </c>
      <c r="D52" t="s">
        <v>12</v>
      </c>
    </row>
    <row r="53" spans="1:4" x14ac:dyDescent="0.3">
      <c r="A53">
        <v>128</v>
      </c>
      <c r="B53">
        <v>300</v>
      </c>
      <c r="C53">
        <v>18</v>
      </c>
      <c r="D53" t="s">
        <v>12</v>
      </c>
    </row>
    <row r="54" spans="1:4" x14ac:dyDescent="0.3">
      <c r="A54">
        <v>64</v>
      </c>
      <c r="B54">
        <v>300</v>
      </c>
      <c r="C54">
        <v>25</v>
      </c>
      <c r="D54" t="s">
        <v>12</v>
      </c>
    </row>
    <row r="55" spans="1:4" x14ac:dyDescent="0.3">
      <c r="A55">
        <v>32</v>
      </c>
      <c r="B55">
        <v>300</v>
      </c>
      <c r="C55">
        <v>55</v>
      </c>
      <c r="D55" t="s">
        <v>12</v>
      </c>
    </row>
    <row r="56" spans="1:4" x14ac:dyDescent="0.3">
      <c r="A56">
        <v>16</v>
      </c>
      <c r="B56">
        <v>300</v>
      </c>
      <c r="C56">
        <v>318</v>
      </c>
      <c r="D56" t="s">
        <v>12</v>
      </c>
    </row>
    <row r="57" spans="1:4" x14ac:dyDescent="0.3">
      <c r="A57">
        <v>8</v>
      </c>
      <c r="B57">
        <v>300</v>
      </c>
      <c r="C57">
        <v>2756</v>
      </c>
      <c r="D57" t="s">
        <v>12</v>
      </c>
    </row>
    <row r="58" spans="1:4" x14ac:dyDescent="0.3">
      <c r="A58">
        <v>4</v>
      </c>
      <c r="B58">
        <v>300</v>
      </c>
      <c r="C58">
        <v>30849</v>
      </c>
      <c r="D58" t="s">
        <v>12</v>
      </c>
    </row>
    <row r="59" spans="1:4" x14ac:dyDescent="0.3">
      <c r="A59">
        <v>500</v>
      </c>
      <c r="B59">
        <v>500</v>
      </c>
      <c r="C59">
        <v>320</v>
      </c>
      <c r="D59" t="s">
        <v>12</v>
      </c>
    </row>
    <row r="60" spans="1:4" x14ac:dyDescent="0.3">
      <c r="A60">
        <v>256</v>
      </c>
      <c r="B60">
        <v>500</v>
      </c>
      <c r="C60">
        <v>91</v>
      </c>
      <c r="D60" t="s">
        <v>12</v>
      </c>
    </row>
    <row r="61" spans="1:4" x14ac:dyDescent="0.3">
      <c r="A61">
        <v>128</v>
      </c>
      <c r="B61">
        <v>500</v>
      </c>
      <c r="C61">
        <v>52</v>
      </c>
      <c r="D61" t="s">
        <v>12</v>
      </c>
    </row>
    <row r="62" spans="1:4" x14ac:dyDescent="0.3">
      <c r="A62">
        <v>64</v>
      </c>
      <c r="B62">
        <v>500</v>
      </c>
      <c r="C62">
        <v>90</v>
      </c>
      <c r="D62" t="s">
        <v>12</v>
      </c>
    </row>
    <row r="63" spans="1:4" x14ac:dyDescent="0.3">
      <c r="A63">
        <v>32</v>
      </c>
      <c r="B63">
        <v>500</v>
      </c>
      <c r="C63">
        <v>234</v>
      </c>
      <c r="D63" t="s">
        <v>12</v>
      </c>
    </row>
    <row r="64" spans="1:4" x14ac:dyDescent="0.3">
      <c r="A64">
        <v>16</v>
      </c>
      <c r="B64">
        <v>500</v>
      </c>
      <c r="C64">
        <v>1452</v>
      </c>
      <c r="D64" t="s">
        <v>12</v>
      </c>
    </row>
    <row r="65" spans="1:4" x14ac:dyDescent="0.3">
      <c r="A65">
        <v>8</v>
      </c>
      <c r="B65">
        <v>500</v>
      </c>
      <c r="C65">
        <v>14106</v>
      </c>
      <c r="D65" t="s">
        <v>12</v>
      </c>
    </row>
    <row r="66" spans="1:4" x14ac:dyDescent="0.3">
      <c r="A66">
        <v>100</v>
      </c>
      <c r="B66">
        <v>100</v>
      </c>
      <c r="C66">
        <v>1</v>
      </c>
      <c r="D66" t="s">
        <v>12</v>
      </c>
    </row>
    <row r="67" spans="1:4" x14ac:dyDescent="0.3">
      <c r="A67">
        <v>64</v>
      </c>
      <c r="B67">
        <v>100</v>
      </c>
      <c r="C67">
        <v>3</v>
      </c>
      <c r="D67" t="s">
        <v>12</v>
      </c>
    </row>
    <row r="68" spans="1:4" x14ac:dyDescent="0.3">
      <c r="A68">
        <v>32</v>
      </c>
      <c r="B68">
        <v>100</v>
      </c>
      <c r="C68">
        <v>11</v>
      </c>
      <c r="D68" t="s">
        <v>12</v>
      </c>
    </row>
    <row r="69" spans="1:4" x14ac:dyDescent="0.3">
      <c r="A69">
        <v>16</v>
      </c>
      <c r="B69">
        <v>100</v>
      </c>
      <c r="C69">
        <v>18</v>
      </c>
      <c r="D69" t="s">
        <v>12</v>
      </c>
    </row>
    <row r="70" spans="1:4" x14ac:dyDescent="0.3">
      <c r="A70">
        <v>8</v>
      </c>
      <c r="B70">
        <v>100</v>
      </c>
      <c r="C70">
        <v>97</v>
      </c>
      <c r="D70" t="s">
        <v>12</v>
      </c>
    </row>
    <row r="71" spans="1:4" x14ac:dyDescent="0.3">
      <c r="A71">
        <v>4</v>
      </c>
      <c r="B71">
        <v>100</v>
      </c>
      <c r="C71">
        <v>664</v>
      </c>
      <c r="D71" t="s">
        <v>12</v>
      </c>
    </row>
    <row r="72" spans="1:4" x14ac:dyDescent="0.3">
      <c r="A72">
        <v>2</v>
      </c>
      <c r="B72">
        <v>100</v>
      </c>
      <c r="C72">
        <v>6178</v>
      </c>
      <c r="D72" t="s">
        <v>12</v>
      </c>
    </row>
    <row r="73" spans="1:4" x14ac:dyDescent="0.3">
      <c r="A73">
        <v>1</v>
      </c>
      <c r="B73">
        <v>100</v>
      </c>
      <c r="C73">
        <v>133830</v>
      </c>
      <c r="D73" t="s">
        <v>12</v>
      </c>
    </row>
    <row r="74" spans="1:4" x14ac:dyDescent="0.3">
      <c r="A74">
        <v>300</v>
      </c>
      <c r="B74">
        <v>300</v>
      </c>
      <c r="C74">
        <v>52</v>
      </c>
      <c r="D74" t="s">
        <v>12</v>
      </c>
    </row>
    <row r="75" spans="1:4" x14ac:dyDescent="0.3">
      <c r="A75">
        <v>256</v>
      </c>
      <c r="B75">
        <v>300</v>
      </c>
      <c r="C75">
        <v>47</v>
      </c>
      <c r="D75" t="s">
        <v>12</v>
      </c>
    </row>
    <row r="76" spans="1:4" x14ac:dyDescent="0.3">
      <c r="A76">
        <v>128</v>
      </c>
      <c r="B76">
        <v>300</v>
      </c>
      <c r="C76">
        <v>16</v>
      </c>
      <c r="D76" t="s">
        <v>12</v>
      </c>
    </row>
    <row r="77" spans="1:4" x14ac:dyDescent="0.3">
      <c r="A77">
        <v>64</v>
      </c>
      <c r="B77">
        <v>300</v>
      </c>
      <c r="C77">
        <v>22</v>
      </c>
      <c r="D77" t="s">
        <v>12</v>
      </c>
    </row>
    <row r="78" spans="1:4" x14ac:dyDescent="0.3">
      <c r="A78">
        <v>32</v>
      </c>
      <c r="B78">
        <v>300</v>
      </c>
      <c r="C78">
        <v>58</v>
      </c>
      <c r="D78" t="s">
        <v>12</v>
      </c>
    </row>
    <row r="79" spans="1:4" x14ac:dyDescent="0.3">
      <c r="A79">
        <v>16</v>
      </c>
      <c r="B79">
        <v>300</v>
      </c>
      <c r="C79">
        <v>326</v>
      </c>
      <c r="D79" t="s">
        <v>12</v>
      </c>
    </row>
    <row r="80" spans="1:4" x14ac:dyDescent="0.3">
      <c r="A80">
        <v>8</v>
      </c>
      <c r="B80">
        <v>300</v>
      </c>
      <c r="C80">
        <v>2631</v>
      </c>
      <c r="D80" t="s">
        <v>12</v>
      </c>
    </row>
    <row r="81" spans="1:4" x14ac:dyDescent="0.3">
      <c r="A81">
        <v>4</v>
      </c>
      <c r="B81">
        <v>300</v>
      </c>
      <c r="C81">
        <v>25019</v>
      </c>
      <c r="D81" t="s">
        <v>12</v>
      </c>
    </row>
    <row r="82" spans="1:4" x14ac:dyDescent="0.3">
      <c r="A82">
        <v>500</v>
      </c>
      <c r="B82">
        <v>500</v>
      </c>
      <c r="C82">
        <v>177</v>
      </c>
      <c r="D82" t="s">
        <v>12</v>
      </c>
    </row>
    <row r="83" spans="1:4" x14ac:dyDescent="0.3">
      <c r="A83">
        <v>256</v>
      </c>
      <c r="B83">
        <v>500</v>
      </c>
      <c r="C83">
        <v>58</v>
      </c>
      <c r="D83" t="s">
        <v>12</v>
      </c>
    </row>
    <row r="84" spans="1:4" x14ac:dyDescent="0.3">
      <c r="A84">
        <v>128</v>
      </c>
      <c r="B84">
        <v>500</v>
      </c>
      <c r="C84">
        <v>57</v>
      </c>
      <c r="D84" t="s">
        <v>12</v>
      </c>
    </row>
    <row r="85" spans="1:4" x14ac:dyDescent="0.3">
      <c r="A85">
        <v>64</v>
      </c>
      <c r="B85">
        <v>500</v>
      </c>
      <c r="C85">
        <v>68</v>
      </c>
      <c r="D85" t="s">
        <v>12</v>
      </c>
    </row>
    <row r="86" spans="1:4" x14ac:dyDescent="0.3">
      <c r="A86">
        <v>32</v>
      </c>
      <c r="B86">
        <v>500</v>
      </c>
      <c r="C86">
        <v>224</v>
      </c>
      <c r="D86" t="s">
        <v>12</v>
      </c>
    </row>
    <row r="87" spans="1:4" x14ac:dyDescent="0.3">
      <c r="A87">
        <v>16</v>
      </c>
      <c r="B87">
        <v>500</v>
      </c>
      <c r="C87">
        <v>1578</v>
      </c>
      <c r="D87" t="s">
        <v>12</v>
      </c>
    </row>
    <row r="88" spans="1:4" x14ac:dyDescent="0.3">
      <c r="A88">
        <v>8</v>
      </c>
      <c r="B88">
        <v>500</v>
      </c>
      <c r="C88">
        <v>14647</v>
      </c>
      <c r="D88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9"/>
  <sheetViews>
    <sheetView tabSelected="1" topLeftCell="D25" zoomScaleNormal="100" workbookViewId="0">
      <selection activeCell="J45" sqref="J45"/>
    </sheetView>
  </sheetViews>
  <sheetFormatPr defaultRowHeight="14.4" x14ac:dyDescent="0.3"/>
  <cols>
    <col min="1" max="1" width="13.88671875" customWidth="1"/>
    <col min="2" max="2" width="7.44140625" customWidth="1"/>
    <col min="3" max="3" width="10.5546875" customWidth="1"/>
    <col min="4" max="4" width="9.44140625" customWidth="1"/>
    <col min="5" max="5" width="7.44140625" customWidth="1"/>
    <col min="9" max="9" width="13.44140625" customWidth="1"/>
    <col min="11" max="12" width="10.44140625" bestFit="1" customWidth="1"/>
  </cols>
  <sheetData>
    <row r="1" spans="1:12" x14ac:dyDescent="0.3">
      <c r="A1" s="11" t="s">
        <v>5</v>
      </c>
      <c r="B1" s="11"/>
      <c r="C1" s="11"/>
      <c r="I1" s="11" t="s">
        <v>13</v>
      </c>
      <c r="J1" s="11"/>
      <c r="K1" s="11"/>
      <c r="L1" s="11"/>
    </row>
    <row r="2" spans="1:12" x14ac:dyDescent="0.3">
      <c r="A2" t="s">
        <v>6</v>
      </c>
      <c r="B2" t="s">
        <v>1</v>
      </c>
      <c r="C2" t="s">
        <v>2</v>
      </c>
      <c r="D2" t="s">
        <v>0</v>
      </c>
      <c r="I2" t="s">
        <v>6</v>
      </c>
      <c r="J2" t="s">
        <v>1</v>
      </c>
      <c r="K2" t="s">
        <v>2</v>
      </c>
      <c r="L2" t="s">
        <v>14</v>
      </c>
    </row>
    <row r="3" spans="1:12" x14ac:dyDescent="0.3">
      <c r="A3" s="4">
        <v>64</v>
      </c>
      <c r="B3" s="5">
        <v>100</v>
      </c>
      <c r="C3" s="5">
        <v>11</v>
      </c>
      <c r="D3" t="s">
        <v>7</v>
      </c>
      <c r="E3" t="s">
        <v>3</v>
      </c>
      <c r="I3" s="8">
        <v>100</v>
      </c>
      <c r="J3">
        <v>100</v>
      </c>
      <c r="K3" s="10">
        <f t="shared" ref="K3:K25" si="0">AVERAGEIFS($C$3:$C$89, $A$3:$A$89, I3, $B$3:$B$89, J3)</f>
        <v>2.5</v>
      </c>
      <c r="L3" s="9">
        <f>LOG(K3, 2)</f>
        <v>1.3219280948873624</v>
      </c>
    </row>
    <row r="4" spans="1:12" x14ac:dyDescent="0.3">
      <c r="A4" s="6">
        <v>100</v>
      </c>
      <c r="B4" s="7">
        <v>100</v>
      </c>
      <c r="C4" s="7">
        <v>3</v>
      </c>
      <c r="D4">
        <v>100</v>
      </c>
      <c r="E4">
        <v>3</v>
      </c>
      <c r="I4">
        <v>64</v>
      </c>
      <c r="J4">
        <v>100</v>
      </c>
      <c r="K4" s="10">
        <f t="shared" si="0"/>
        <v>4.5999999999999996</v>
      </c>
      <c r="L4" s="9">
        <f t="shared" ref="L4:L25" si="1">LOG(K4, 2)</f>
        <v>2.2016338611696504</v>
      </c>
    </row>
    <row r="5" spans="1:12" x14ac:dyDescent="0.3">
      <c r="A5" s="4">
        <v>64</v>
      </c>
      <c r="B5" s="5">
        <v>100</v>
      </c>
      <c r="C5" s="5">
        <v>3</v>
      </c>
      <c r="D5">
        <v>300</v>
      </c>
      <c r="E5">
        <v>33</v>
      </c>
      <c r="I5" s="8">
        <v>32</v>
      </c>
      <c r="J5">
        <v>100</v>
      </c>
      <c r="K5" s="10">
        <f t="shared" si="0"/>
        <v>10</v>
      </c>
      <c r="L5" s="9">
        <f t="shared" si="1"/>
        <v>3.3219280948873626</v>
      </c>
    </row>
    <row r="6" spans="1:12" x14ac:dyDescent="0.3">
      <c r="A6" s="6">
        <v>32</v>
      </c>
      <c r="B6" s="7">
        <v>100</v>
      </c>
      <c r="C6" s="7">
        <v>9</v>
      </c>
      <c r="D6">
        <v>500</v>
      </c>
      <c r="E6">
        <v>380</v>
      </c>
      <c r="I6">
        <v>16</v>
      </c>
      <c r="J6">
        <v>100</v>
      </c>
      <c r="K6" s="10">
        <f t="shared" si="0"/>
        <v>18.25</v>
      </c>
      <c r="L6" s="9">
        <f t="shared" si="1"/>
        <v>4.1898245588800176</v>
      </c>
    </row>
    <row r="7" spans="1:12" x14ac:dyDescent="0.3">
      <c r="A7" s="4">
        <v>16</v>
      </c>
      <c r="B7" s="5">
        <v>100</v>
      </c>
      <c r="C7" s="5">
        <v>17</v>
      </c>
      <c r="I7" s="8">
        <v>8</v>
      </c>
      <c r="J7">
        <v>100</v>
      </c>
      <c r="K7" s="10">
        <f t="shared" si="0"/>
        <v>95</v>
      </c>
      <c r="L7" s="9">
        <f t="shared" si="1"/>
        <v>6.5698556083309478</v>
      </c>
    </row>
    <row r="8" spans="1:12" x14ac:dyDescent="0.3">
      <c r="A8" s="6">
        <v>8</v>
      </c>
      <c r="B8" s="7">
        <v>100</v>
      </c>
      <c r="C8" s="7">
        <v>93</v>
      </c>
      <c r="D8" s="1">
        <f>LOG(E4, 2)</f>
        <v>1.5849625007211563</v>
      </c>
      <c r="I8">
        <v>4</v>
      </c>
      <c r="J8">
        <v>100</v>
      </c>
      <c r="K8" s="10">
        <f t="shared" si="0"/>
        <v>604.25</v>
      </c>
      <c r="L8" s="9">
        <f t="shared" si="1"/>
        <v>9.2390017577655836</v>
      </c>
    </row>
    <row r="9" spans="1:12" x14ac:dyDescent="0.3">
      <c r="A9" s="4">
        <v>4</v>
      </c>
      <c r="B9" s="5">
        <v>100</v>
      </c>
      <c r="C9" s="5">
        <v>582</v>
      </c>
      <c r="D9" s="1">
        <f>LOG(E5, 2)</f>
        <v>5.0443941193584534</v>
      </c>
      <c r="I9" s="8">
        <v>2</v>
      </c>
      <c r="J9">
        <v>100</v>
      </c>
      <c r="K9" s="10">
        <f t="shared" si="0"/>
        <v>5729.666666666667</v>
      </c>
      <c r="L9" s="9">
        <f t="shared" si="1"/>
        <v>12.484235494789949</v>
      </c>
    </row>
    <row r="10" spans="1:12" x14ac:dyDescent="0.3">
      <c r="A10" s="6">
        <v>300</v>
      </c>
      <c r="B10" s="7">
        <v>300</v>
      </c>
      <c r="C10" s="7">
        <v>41</v>
      </c>
      <c r="D10" s="1">
        <f>LOG(E6, 2)</f>
        <v>8.5698556083309487</v>
      </c>
      <c r="I10">
        <v>1</v>
      </c>
      <c r="J10">
        <v>100</v>
      </c>
      <c r="K10" s="10">
        <f t="shared" si="0"/>
        <v>133830</v>
      </c>
      <c r="L10" s="9">
        <f t="shared" si="1"/>
        <v>17.030042028382095</v>
      </c>
    </row>
    <row r="11" spans="1:12" x14ac:dyDescent="0.3">
      <c r="A11" s="4">
        <v>256</v>
      </c>
      <c r="B11" s="5">
        <v>300</v>
      </c>
      <c r="C11" s="5">
        <v>53</v>
      </c>
      <c r="D11" s="1"/>
      <c r="I11" s="8">
        <v>300</v>
      </c>
      <c r="J11">
        <v>300</v>
      </c>
      <c r="K11" s="10">
        <f t="shared" si="0"/>
        <v>50.75</v>
      </c>
      <c r="L11" s="9">
        <f t="shared" si="1"/>
        <v>5.6653359171851765</v>
      </c>
    </row>
    <row r="12" spans="1:12" x14ac:dyDescent="0.3">
      <c r="A12" s="6">
        <v>128</v>
      </c>
      <c r="B12" s="7">
        <v>300</v>
      </c>
      <c r="C12" s="7">
        <v>15</v>
      </c>
      <c r="D12" s="1"/>
      <c r="I12">
        <v>256</v>
      </c>
      <c r="J12">
        <v>300</v>
      </c>
      <c r="K12" s="10">
        <f t="shared" si="0"/>
        <v>44.5</v>
      </c>
      <c r="L12" s="9">
        <f t="shared" si="1"/>
        <v>5.4757334309663985</v>
      </c>
    </row>
    <row r="13" spans="1:12" x14ac:dyDescent="0.3">
      <c r="A13" s="4">
        <v>64</v>
      </c>
      <c r="B13" s="5">
        <v>300</v>
      </c>
      <c r="C13" s="5">
        <v>15</v>
      </c>
      <c r="D13" s="1"/>
      <c r="I13" s="8">
        <v>128</v>
      </c>
      <c r="J13">
        <v>300</v>
      </c>
      <c r="K13" s="10">
        <f t="shared" si="0"/>
        <v>16</v>
      </c>
      <c r="L13" s="9">
        <f t="shared" si="1"/>
        <v>4</v>
      </c>
    </row>
    <row r="14" spans="1:12" x14ac:dyDescent="0.3">
      <c r="A14" s="6">
        <v>32</v>
      </c>
      <c r="B14" s="7">
        <v>300</v>
      </c>
      <c r="C14" s="7">
        <v>50</v>
      </c>
      <c r="D14" s="1"/>
      <c r="I14">
        <v>64</v>
      </c>
      <c r="J14">
        <v>300</v>
      </c>
      <c r="K14" s="10">
        <f t="shared" si="0"/>
        <v>19.25</v>
      </c>
      <c r="L14" s="9">
        <f t="shared" si="1"/>
        <v>4.2667865406949019</v>
      </c>
    </row>
    <row r="15" spans="1:12" x14ac:dyDescent="0.3">
      <c r="A15" s="4">
        <v>16</v>
      </c>
      <c r="B15" s="5">
        <v>300</v>
      </c>
      <c r="C15" s="5">
        <v>284</v>
      </c>
      <c r="D15" s="1"/>
      <c r="I15" s="8">
        <v>32</v>
      </c>
      <c r="J15">
        <v>300</v>
      </c>
      <c r="K15" s="10">
        <f t="shared" si="0"/>
        <v>51.75</v>
      </c>
      <c r="L15" s="9">
        <f t="shared" si="1"/>
        <v>5.6934869574993252</v>
      </c>
    </row>
    <row r="16" spans="1:12" x14ac:dyDescent="0.3">
      <c r="A16" s="6">
        <v>8</v>
      </c>
      <c r="B16" s="7">
        <v>300</v>
      </c>
      <c r="C16" s="7">
        <v>2391</v>
      </c>
      <c r="D16" s="1"/>
      <c r="I16">
        <v>16</v>
      </c>
      <c r="J16">
        <v>300</v>
      </c>
      <c r="K16" s="10">
        <f t="shared" si="0"/>
        <v>301.5</v>
      </c>
      <c r="L16" s="9">
        <f t="shared" si="1"/>
        <v>8.236014191900086</v>
      </c>
    </row>
    <row r="17" spans="1:12" x14ac:dyDescent="0.3">
      <c r="A17" s="4">
        <v>500</v>
      </c>
      <c r="B17" s="5">
        <v>500</v>
      </c>
      <c r="C17" s="5">
        <v>174</v>
      </c>
      <c r="D17" s="1"/>
      <c r="I17" s="8">
        <v>8</v>
      </c>
      <c r="J17">
        <v>300</v>
      </c>
      <c r="K17" s="10">
        <f t="shared" si="0"/>
        <v>2478.5</v>
      </c>
      <c r="L17" s="9">
        <f t="shared" si="1"/>
        <v>11.275251543470327</v>
      </c>
    </row>
    <row r="18" spans="1:12" x14ac:dyDescent="0.3">
      <c r="A18" s="6">
        <v>256</v>
      </c>
      <c r="B18" s="7">
        <v>500</v>
      </c>
      <c r="C18" s="7">
        <v>54</v>
      </c>
      <c r="D18" s="1"/>
      <c r="I18">
        <v>4</v>
      </c>
      <c r="J18">
        <v>300</v>
      </c>
      <c r="K18" s="10">
        <f t="shared" si="0"/>
        <v>29311.333333333332</v>
      </c>
      <c r="L18" s="9">
        <f t="shared" si="1"/>
        <v>14.839170975336589</v>
      </c>
    </row>
    <row r="19" spans="1:12" x14ac:dyDescent="0.3">
      <c r="A19" s="4">
        <v>128</v>
      </c>
      <c r="B19" s="5">
        <v>500</v>
      </c>
      <c r="C19" s="5">
        <v>55</v>
      </c>
      <c r="D19" s="1"/>
      <c r="I19" s="8">
        <v>500</v>
      </c>
      <c r="J19">
        <v>500</v>
      </c>
      <c r="K19" s="10">
        <f t="shared" si="0"/>
        <v>250</v>
      </c>
      <c r="L19" s="9">
        <f t="shared" si="1"/>
        <v>7.965784284662087</v>
      </c>
    </row>
    <row r="20" spans="1:12" x14ac:dyDescent="0.3">
      <c r="A20" s="6">
        <v>64</v>
      </c>
      <c r="B20" s="7">
        <v>500</v>
      </c>
      <c r="C20" s="7">
        <v>63</v>
      </c>
      <c r="D20" s="1"/>
      <c r="I20">
        <v>256</v>
      </c>
      <c r="J20">
        <v>500</v>
      </c>
      <c r="K20" s="10">
        <f t="shared" si="0"/>
        <v>64.75</v>
      </c>
      <c r="L20" s="9">
        <f t="shared" si="1"/>
        <v>6.0168082876865547</v>
      </c>
    </row>
    <row r="21" spans="1:12" x14ac:dyDescent="0.3">
      <c r="A21" s="4">
        <v>32</v>
      </c>
      <c r="B21" s="5">
        <v>500</v>
      </c>
      <c r="C21" s="5">
        <v>198</v>
      </c>
      <c r="D21" s="1"/>
      <c r="I21" s="8">
        <v>128</v>
      </c>
      <c r="J21">
        <v>500</v>
      </c>
      <c r="K21" s="10">
        <f t="shared" si="0"/>
        <v>59.5</v>
      </c>
      <c r="L21" s="9">
        <f t="shared" si="1"/>
        <v>5.8948177633079437</v>
      </c>
    </row>
    <row r="22" spans="1:12" x14ac:dyDescent="0.3">
      <c r="A22" s="6">
        <v>16</v>
      </c>
      <c r="B22" s="7">
        <v>500</v>
      </c>
      <c r="C22" s="7">
        <v>1365</v>
      </c>
      <c r="D22" s="1"/>
      <c r="I22">
        <v>64</v>
      </c>
      <c r="J22">
        <v>500</v>
      </c>
      <c r="K22" s="10">
        <f t="shared" si="0"/>
        <v>80.25</v>
      </c>
      <c r="L22" s="9">
        <f t="shared" si="1"/>
        <v>6.3264294871223026</v>
      </c>
    </row>
    <row r="23" spans="1:12" x14ac:dyDescent="0.3">
      <c r="A23" s="4">
        <v>100</v>
      </c>
      <c r="B23" s="5">
        <v>100</v>
      </c>
      <c r="C23" s="5">
        <v>5</v>
      </c>
      <c r="D23" s="1"/>
      <c r="I23" s="8">
        <v>32</v>
      </c>
      <c r="J23">
        <v>500</v>
      </c>
      <c r="K23" s="10">
        <f t="shared" si="0"/>
        <v>217.25</v>
      </c>
      <c r="L23" s="9">
        <f t="shared" si="1"/>
        <v>7.7632123668144004</v>
      </c>
    </row>
    <row r="24" spans="1:12" x14ac:dyDescent="0.3">
      <c r="A24" s="6">
        <v>64</v>
      </c>
      <c r="B24" s="7">
        <v>100</v>
      </c>
      <c r="C24" s="7">
        <v>4</v>
      </c>
      <c r="D24" s="1"/>
      <c r="I24">
        <v>16</v>
      </c>
      <c r="J24">
        <v>500</v>
      </c>
      <c r="K24" s="10">
        <f t="shared" si="0"/>
        <v>1458.25</v>
      </c>
      <c r="L24" s="9">
        <f t="shared" si="1"/>
        <v>10.510022358813766</v>
      </c>
    </row>
    <row r="25" spans="1:12" x14ac:dyDescent="0.3">
      <c r="A25" s="4">
        <v>32</v>
      </c>
      <c r="B25" s="5">
        <v>100</v>
      </c>
      <c r="C25" s="5">
        <v>9</v>
      </c>
      <c r="D25" s="1"/>
      <c r="I25" s="8">
        <v>8</v>
      </c>
      <c r="J25">
        <v>500</v>
      </c>
      <c r="K25" s="10">
        <f t="shared" si="0"/>
        <v>14744</v>
      </c>
      <c r="L25" s="9">
        <f t="shared" si="1"/>
        <v>13.847840355630714</v>
      </c>
    </row>
    <row r="26" spans="1:12" x14ac:dyDescent="0.3">
      <c r="A26" s="6">
        <v>16</v>
      </c>
      <c r="B26" s="7">
        <v>100</v>
      </c>
      <c r="C26" s="7">
        <v>17</v>
      </c>
      <c r="D26" s="1"/>
    </row>
    <row r="27" spans="1:12" x14ac:dyDescent="0.3">
      <c r="A27" s="4">
        <v>8</v>
      </c>
      <c r="B27" s="5">
        <v>100</v>
      </c>
      <c r="C27" s="5">
        <v>92</v>
      </c>
      <c r="D27" s="1"/>
      <c r="E27" s="12" t="s">
        <v>4</v>
      </c>
      <c r="F27" s="12"/>
      <c r="G27" s="12"/>
      <c r="H27" s="12"/>
      <c r="I27" s="12"/>
      <c r="J27" s="12"/>
      <c r="K27" s="12"/>
      <c r="L27" s="3"/>
    </row>
    <row r="28" spans="1:12" x14ac:dyDescent="0.3">
      <c r="A28" s="6">
        <v>4</v>
      </c>
      <c r="B28" s="7">
        <v>100</v>
      </c>
      <c r="C28" s="7">
        <v>572</v>
      </c>
      <c r="D28" s="1"/>
      <c r="E28" s="13" t="s">
        <v>15</v>
      </c>
      <c r="F28" s="13"/>
      <c r="G28" s="13"/>
      <c r="H28" s="13"/>
      <c r="I28" s="13"/>
      <c r="J28" s="13"/>
      <c r="K28" s="13"/>
      <c r="L28" s="13"/>
    </row>
    <row r="29" spans="1:12" x14ac:dyDescent="0.3">
      <c r="A29" s="4">
        <v>2</v>
      </c>
      <c r="B29" s="5">
        <v>100</v>
      </c>
      <c r="C29" s="5">
        <v>5305</v>
      </c>
      <c r="D29" s="1"/>
      <c r="E29" s="13"/>
      <c r="F29" s="13"/>
      <c r="G29" s="13"/>
      <c r="H29" s="13"/>
      <c r="I29" s="13"/>
      <c r="J29" s="13"/>
      <c r="K29" s="13"/>
      <c r="L29" s="13"/>
    </row>
    <row r="30" spans="1:12" x14ac:dyDescent="0.3">
      <c r="A30" s="6">
        <v>300</v>
      </c>
      <c r="B30" s="7">
        <v>300</v>
      </c>
      <c r="C30" s="7">
        <v>78</v>
      </c>
      <c r="D30" s="1"/>
      <c r="E30" s="13"/>
      <c r="F30" s="13"/>
      <c r="G30" s="13"/>
      <c r="H30" s="13"/>
      <c r="I30" s="13"/>
      <c r="J30" s="13"/>
      <c r="K30" s="13"/>
      <c r="L30" s="13"/>
    </row>
    <row r="31" spans="1:12" x14ac:dyDescent="0.3">
      <c r="A31" s="4">
        <v>256</v>
      </c>
      <c r="B31" s="5">
        <v>300</v>
      </c>
      <c r="C31" s="5">
        <v>57</v>
      </c>
      <c r="E31" s="13"/>
      <c r="F31" s="13"/>
      <c r="G31" s="13"/>
      <c r="H31" s="13"/>
      <c r="I31" s="13"/>
      <c r="J31" s="13"/>
      <c r="K31" s="13"/>
      <c r="L31" s="13"/>
    </row>
    <row r="32" spans="1:12" x14ac:dyDescent="0.3">
      <c r="A32" s="6">
        <v>128</v>
      </c>
      <c r="B32" s="7">
        <v>300</v>
      </c>
      <c r="C32" s="7">
        <v>15</v>
      </c>
      <c r="E32" s="13"/>
      <c r="F32" s="13"/>
      <c r="G32" s="13"/>
      <c r="H32" s="13"/>
      <c r="I32" s="13"/>
      <c r="J32" s="13"/>
      <c r="K32" s="13"/>
      <c r="L32" s="13"/>
    </row>
    <row r="33" spans="1:12" x14ac:dyDescent="0.3">
      <c r="A33" s="4">
        <v>64</v>
      </c>
      <c r="B33" s="5">
        <v>300</v>
      </c>
      <c r="C33" s="5">
        <v>15</v>
      </c>
    </row>
    <row r="34" spans="1:12" ht="14.4" customHeight="1" x14ac:dyDescent="0.3">
      <c r="A34" s="6">
        <v>32</v>
      </c>
      <c r="B34" s="7">
        <v>300</v>
      </c>
      <c r="C34" s="7">
        <v>44</v>
      </c>
    </row>
    <row r="35" spans="1:12" ht="14.4" customHeight="1" x14ac:dyDescent="0.3">
      <c r="A35" s="4">
        <v>16</v>
      </c>
      <c r="B35" s="5">
        <v>300</v>
      </c>
      <c r="C35" s="5">
        <v>278</v>
      </c>
      <c r="E35" s="14" t="s">
        <v>16</v>
      </c>
      <c r="F35" s="14"/>
      <c r="G35" s="14"/>
      <c r="H35" s="14"/>
      <c r="I35" s="14"/>
      <c r="J35" s="14"/>
      <c r="K35" s="14"/>
      <c r="L35" s="14"/>
    </row>
    <row r="36" spans="1:12" x14ac:dyDescent="0.3">
      <c r="A36" s="6">
        <v>8</v>
      </c>
      <c r="B36" s="7">
        <v>300</v>
      </c>
      <c r="C36" s="7">
        <v>2136</v>
      </c>
      <c r="E36" s="14"/>
      <c r="F36" s="14"/>
      <c r="G36" s="14"/>
      <c r="H36" s="14"/>
      <c r="I36" s="14"/>
      <c r="J36" s="14"/>
      <c r="K36" s="14"/>
      <c r="L36" s="14"/>
    </row>
    <row r="37" spans="1:12" x14ac:dyDescent="0.3">
      <c r="A37" s="4">
        <v>4</v>
      </c>
      <c r="B37" s="5">
        <v>300</v>
      </c>
      <c r="C37" s="5">
        <v>32066</v>
      </c>
      <c r="E37" s="14"/>
      <c r="F37" s="14"/>
      <c r="G37" s="14"/>
      <c r="H37" s="14"/>
      <c r="I37" s="14"/>
      <c r="J37" s="14"/>
      <c r="K37" s="14"/>
      <c r="L37" s="14"/>
    </row>
    <row r="38" spans="1:12" x14ac:dyDescent="0.3">
      <c r="A38" s="6">
        <v>500</v>
      </c>
      <c r="B38" s="7">
        <v>500</v>
      </c>
      <c r="C38" s="7">
        <v>329</v>
      </c>
      <c r="E38" s="14"/>
      <c r="F38" s="14"/>
      <c r="G38" s="14"/>
      <c r="H38" s="14"/>
      <c r="I38" s="14"/>
      <c r="J38" s="14"/>
      <c r="K38" s="14"/>
      <c r="L38" s="14"/>
    </row>
    <row r="39" spans="1:12" x14ac:dyDescent="0.3">
      <c r="A39" s="4">
        <v>256</v>
      </c>
      <c r="B39" s="5">
        <v>500</v>
      </c>
      <c r="C39" s="5">
        <v>56</v>
      </c>
      <c r="E39" s="14"/>
      <c r="F39" s="14"/>
      <c r="G39" s="14"/>
      <c r="H39" s="14"/>
      <c r="I39" s="14"/>
      <c r="J39" s="14"/>
      <c r="K39" s="14"/>
      <c r="L39" s="14"/>
    </row>
    <row r="40" spans="1:12" ht="14.4" customHeight="1" x14ac:dyDescent="0.3">
      <c r="A40" s="6">
        <v>128</v>
      </c>
      <c r="B40" s="7">
        <v>500</v>
      </c>
      <c r="C40" s="7">
        <v>74</v>
      </c>
      <c r="E40" s="14"/>
      <c r="F40" s="14"/>
      <c r="G40" s="14"/>
      <c r="H40" s="14"/>
      <c r="I40" s="14"/>
      <c r="J40" s="14"/>
      <c r="K40" s="14"/>
      <c r="L40" s="14"/>
    </row>
    <row r="41" spans="1:12" x14ac:dyDescent="0.3">
      <c r="A41" s="4">
        <v>64</v>
      </c>
      <c r="B41" s="5">
        <v>500</v>
      </c>
      <c r="C41" s="5">
        <v>100</v>
      </c>
    </row>
    <row r="42" spans="1:12" x14ac:dyDescent="0.3">
      <c r="A42" s="6">
        <v>32</v>
      </c>
      <c r="B42" s="7">
        <v>500</v>
      </c>
      <c r="C42" s="7">
        <v>213</v>
      </c>
    </row>
    <row r="43" spans="1:12" x14ac:dyDescent="0.3">
      <c r="A43" s="4">
        <v>16</v>
      </c>
      <c r="B43" s="5">
        <v>500</v>
      </c>
      <c r="C43" s="5">
        <v>1438</v>
      </c>
    </row>
    <row r="44" spans="1:12" x14ac:dyDescent="0.3">
      <c r="A44" s="6">
        <v>8</v>
      </c>
      <c r="B44" s="7">
        <v>500</v>
      </c>
      <c r="C44" s="7">
        <v>15479</v>
      </c>
    </row>
    <row r="45" spans="1:12" x14ac:dyDescent="0.3">
      <c r="A45" s="4">
        <v>100</v>
      </c>
      <c r="B45" s="5">
        <v>100</v>
      </c>
      <c r="C45" s="5">
        <v>1</v>
      </c>
    </row>
    <row r="46" spans="1:12" x14ac:dyDescent="0.3">
      <c r="A46" s="6">
        <v>64</v>
      </c>
      <c r="B46" s="7">
        <v>100</v>
      </c>
      <c r="C46" s="7">
        <v>2</v>
      </c>
    </row>
    <row r="47" spans="1:12" x14ac:dyDescent="0.3">
      <c r="A47" s="4">
        <v>32</v>
      </c>
      <c r="B47" s="5">
        <v>100</v>
      </c>
      <c r="C47" s="5">
        <v>11</v>
      </c>
    </row>
    <row r="48" spans="1:12" x14ac:dyDescent="0.3">
      <c r="A48" s="6">
        <v>16</v>
      </c>
      <c r="B48" s="7">
        <v>100</v>
      </c>
      <c r="C48" s="7">
        <v>21</v>
      </c>
    </row>
    <row r="49" spans="1:3" x14ac:dyDescent="0.3">
      <c r="A49" s="4">
        <v>8</v>
      </c>
      <c r="B49" s="5">
        <v>100</v>
      </c>
      <c r="C49" s="5">
        <v>98</v>
      </c>
    </row>
    <row r="50" spans="1:3" x14ac:dyDescent="0.3">
      <c r="A50" s="6">
        <v>4</v>
      </c>
      <c r="B50" s="7">
        <v>100</v>
      </c>
      <c r="C50" s="7">
        <v>599</v>
      </c>
    </row>
    <row r="51" spans="1:3" x14ac:dyDescent="0.3">
      <c r="A51" s="4">
        <v>2</v>
      </c>
      <c r="B51" s="5">
        <v>100</v>
      </c>
      <c r="C51" s="5">
        <v>5706</v>
      </c>
    </row>
    <row r="52" spans="1:3" x14ac:dyDescent="0.3">
      <c r="A52" s="6">
        <v>300</v>
      </c>
      <c r="B52" s="7">
        <v>300</v>
      </c>
      <c r="C52" s="7">
        <v>32</v>
      </c>
    </row>
    <row r="53" spans="1:3" x14ac:dyDescent="0.3">
      <c r="A53" s="4">
        <v>256</v>
      </c>
      <c r="B53" s="5">
        <v>300</v>
      </c>
      <c r="C53" s="5">
        <v>21</v>
      </c>
    </row>
    <row r="54" spans="1:3" x14ac:dyDescent="0.3">
      <c r="A54" s="6">
        <v>128</v>
      </c>
      <c r="B54" s="7">
        <v>300</v>
      </c>
      <c r="C54" s="7">
        <v>18</v>
      </c>
    </row>
    <row r="55" spans="1:3" x14ac:dyDescent="0.3">
      <c r="A55" s="4">
        <v>64</v>
      </c>
      <c r="B55" s="5">
        <v>300</v>
      </c>
      <c r="C55" s="5">
        <v>25</v>
      </c>
    </row>
    <row r="56" spans="1:3" x14ac:dyDescent="0.3">
      <c r="A56" s="6">
        <v>32</v>
      </c>
      <c r="B56" s="7">
        <v>300</v>
      </c>
      <c r="C56" s="7">
        <v>55</v>
      </c>
    </row>
    <row r="57" spans="1:3" x14ac:dyDescent="0.3">
      <c r="A57" s="4">
        <v>16</v>
      </c>
      <c r="B57" s="5">
        <v>300</v>
      </c>
      <c r="C57" s="5">
        <v>318</v>
      </c>
    </row>
    <row r="58" spans="1:3" x14ac:dyDescent="0.3">
      <c r="A58" s="6">
        <v>8</v>
      </c>
      <c r="B58" s="7">
        <v>300</v>
      </c>
      <c r="C58" s="7">
        <v>2756</v>
      </c>
    </row>
    <row r="59" spans="1:3" x14ac:dyDescent="0.3">
      <c r="A59" s="4">
        <v>4</v>
      </c>
      <c r="B59" s="5">
        <v>300</v>
      </c>
      <c r="C59" s="5">
        <v>30849</v>
      </c>
    </row>
    <row r="60" spans="1:3" x14ac:dyDescent="0.3">
      <c r="A60" s="6">
        <v>500</v>
      </c>
      <c r="B60" s="7">
        <v>500</v>
      </c>
      <c r="C60" s="7">
        <v>320</v>
      </c>
    </row>
    <row r="61" spans="1:3" x14ac:dyDescent="0.3">
      <c r="A61" s="4">
        <v>256</v>
      </c>
      <c r="B61" s="5">
        <v>500</v>
      </c>
      <c r="C61" s="5">
        <v>91</v>
      </c>
    </row>
    <row r="62" spans="1:3" x14ac:dyDescent="0.3">
      <c r="A62" s="6">
        <v>128</v>
      </c>
      <c r="B62" s="7">
        <v>500</v>
      </c>
      <c r="C62" s="7">
        <v>52</v>
      </c>
    </row>
    <row r="63" spans="1:3" x14ac:dyDescent="0.3">
      <c r="A63" s="4">
        <v>64</v>
      </c>
      <c r="B63" s="5">
        <v>500</v>
      </c>
      <c r="C63" s="5">
        <v>90</v>
      </c>
    </row>
    <row r="64" spans="1:3" x14ac:dyDescent="0.3">
      <c r="A64" s="6">
        <v>32</v>
      </c>
      <c r="B64" s="7">
        <v>500</v>
      </c>
      <c r="C64" s="7">
        <v>234</v>
      </c>
    </row>
    <row r="65" spans="1:20" x14ac:dyDescent="0.3">
      <c r="A65" s="4">
        <v>16</v>
      </c>
      <c r="B65" s="5">
        <v>500</v>
      </c>
      <c r="C65" s="5">
        <v>1452</v>
      </c>
    </row>
    <row r="66" spans="1:20" x14ac:dyDescent="0.3">
      <c r="A66" s="6">
        <v>8</v>
      </c>
      <c r="B66" s="7">
        <v>500</v>
      </c>
      <c r="C66" s="7">
        <v>14106</v>
      </c>
    </row>
    <row r="67" spans="1:20" x14ac:dyDescent="0.3">
      <c r="A67" s="4">
        <v>100</v>
      </c>
      <c r="B67" s="5">
        <v>100</v>
      </c>
      <c r="C67" s="5">
        <v>1</v>
      </c>
      <c r="M67" s="2"/>
      <c r="N67" s="2"/>
      <c r="O67" s="2"/>
      <c r="P67" s="2"/>
      <c r="Q67" s="2"/>
      <c r="R67" s="2"/>
      <c r="S67" s="2"/>
      <c r="T67" s="2"/>
    </row>
    <row r="68" spans="1:20" x14ac:dyDescent="0.3">
      <c r="A68" s="6">
        <v>64</v>
      </c>
      <c r="B68" s="7">
        <v>100</v>
      </c>
      <c r="C68" s="7">
        <v>3</v>
      </c>
    </row>
    <row r="69" spans="1:20" x14ac:dyDescent="0.3">
      <c r="A69" s="4">
        <v>32</v>
      </c>
      <c r="B69" s="5">
        <v>100</v>
      </c>
      <c r="C69" s="5">
        <v>11</v>
      </c>
    </row>
    <row r="70" spans="1:20" x14ac:dyDescent="0.3">
      <c r="A70" s="6">
        <v>16</v>
      </c>
      <c r="B70" s="7">
        <v>100</v>
      </c>
      <c r="C70" s="7">
        <v>18</v>
      </c>
    </row>
    <row r="71" spans="1:20" x14ac:dyDescent="0.3">
      <c r="A71" s="4">
        <v>8</v>
      </c>
      <c r="B71" s="5">
        <v>100</v>
      </c>
      <c r="C71" s="5">
        <v>97</v>
      </c>
    </row>
    <row r="72" spans="1:20" x14ac:dyDescent="0.3">
      <c r="A72" s="6">
        <v>4</v>
      </c>
      <c r="B72" s="7">
        <v>100</v>
      </c>
      <c r="C72" s="7">
        <v>664</v>
      </c>
    </row>
    <row r="73" spans="1:20" x14ac:dyDescent="0.3">
      <c r="A73" s="4">
        <v>2</v>
      </c>
      <c r="B73" s="5">
        <v>100</v>
      </c>
      <c r="C73" s="5">
        <v>6178</v>
      </c>
    </row>
    <row r="74" spans="1:20" x14ac:dyDescent="0.3">
      <c r="A74" s="6">
        <v>1</v>
      </c>
      <c r="B74" s="7">
        <v>100</v>
      </c>
      <c r="C74" s="7">
        <v>133830</v>
      </c>
    </row>
    <row r="75" spans="1:20" x14ac:dyDescent="0.3">
      <c r="A75" s="4">
        <v>300</v>
      </c>
      <c r="B75" s="5">
        <v>300</v>
      </c>
      <c r="C75" s="5">
        <v>52</v>
      </c>
    </row>
    <row r="76" spans="1:20" x14ac:dyDescent="0.3">
      <c r="A76" s="6">
        <v>256</v>
      </c>
      <c r="B76" s="7">
        <v>300</v>
      </c>
      <c r="C76" s="7">
        <v>47</v>
      </c>
    </row>
    <row r="77" spans="1:20" x14ac:dyDescent="0.3">
      <c r="A77" s="4">
        <v>128</v>
      </c>
      <c r="B77" s="5">
        <v>300</v>
      </c>
      <c r="C77" s="5">
        <v>16</v>
      </c>
    </row>
    <row r="78" spans="1:20" x14ac:dyDescent="0.3">
      <c r="A78" s="6">
        <v>64</v>
      </c>
      <c r="B78" s="7">
        <v>300</v>
      </c>
      <c r="C78" s="7">
        <v>22</v>
      </c>
    </row>
    <row r="79" spans="1:20" x14ac:dyDescent="0.3">
      <c r="A79" s="4">
        <v>32</v>
      </c>
      <c r="B79" s="5">
        <v>300</v>
      </c>
      <c r="C79" s="5">
        <v>58</v>
      </c>
    </row>
    <row r="80" spans="1:20" x14ac:dyDescent="0.3">
      <c r="A80" s="6">
        <v>16</v>
      </c>
      <c r="B80" s="7">
        <v>300</v>
      </c>
      <c r="C80" s="7">
        <v>326</v>
      </c>
    </row>
    <row r="81" spans="1:3" x14ac:dyDescent="0.3">
      <c r="A81" s="4">
        <v>8</v>
      </c>
      <c r="B81" s="5">
        <v>300</v>
      </c>
      <c r="C81" s="5">
        <v>2631</v>
      </c>
    </row>
    <row r="82" spans="1:3" x14ac:dyDescent="0.3">
      <c r="A82" s="6">
        <v>4</v>
      </c>
      <c r="B82" s="7">
        <v>300</v>
      </c>
      <c r="C82" s="7">
        <v>25019</v>
      </c>
    </row>
    <row r="83" spans="1:3" x14ac:dyDescent="0.3">
      <c r="A83" s="4">
        <v>500</v>
      </c>
      <c r="B83" s="5">
        <v>500</v>
      </c>
      <c r="C83" s="5">
        <v>177</v>
      </c>
    </row>
    <row r="84" spans="1:3" x14ac:dyDescent="0.3">
      <c r="A84" s="6">
        <v>256</v>
      </c>
      <c r="B84" s="7">
        <v>500</v>
      </c>
      <c r="C84" s="7">
        <v>58</v>
      </c>
    </row>
    <row r="85" spans="1:3" x14ac:dyDescent="0.3">
      <c r="A85" s="4">
        <v>128</v>
      </c>
      <c r="B85" s="5">
        <v>500</v>
      </c>
      <c r="C85" s="5">
        <v>57</v>
      </c>
    </row>
    <row r="86" spans="1:3" x14ac:dyDescent="0.3">
      <c r="A86" s="6">
        <v>64</v>
      </c>
      <c r="B86" s="7">
        <v>500</v>
      </c>
      <c r="C86" s="7">
        <v>68</v>
      </c>
    </row>
    <row r="87" spans="1:3" x14ac:dyDescent="0.3">
      <c r="A87" s="4">
        <v>32</v>
      </c>
      <c r="B87" s="5">
        <v>500</v>
      </c>
      <c r="C87" s="5">
        <v>224</v>
      </c>
    </row>
    <row r="88" spans="1:3" x14ac:dyDescent="0.3">
      <c r="A88" s="6">
        <v>16</v>
      </c>
      <c r="B88" s="7">
        <v>500</v>
      </c>
      <c r="C88" s="7">
        <v>1578</v>
      </c>
    </row>
    <row r="89" spans="1:3" x14ac:dyDescent="0.3">
      <c r="A89" s="4">
        <v>8</v>
      </c>
      <c r="B89" s="5">
        <v>500</v>
      </c>
      <c r="C89" s="5">
        <v>14647</v>
      </c>
    </row>
  </sheetData>
  <mergeCells count="5">
    <mergeCell ref="A1:C1"/>
    <mergeCell ref="E27:K27"/>
    <mergeCell ref="E28:L32"/>
    <mergeCell ref="I1:L1"/>
    <mergeCell ref="E35:L4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1F5DA9-03D9-42DD-8B15-3A7B7396F0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outputThread (3)</vt:lpstr>
      <vt:lpstr>Analys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Нил Двораковский</dc:creator>
  <cp:lastModifiedBy>Нил Двораковский</cp:lastModifiedBy>
  <dcterms:created xsi:type="dcterms:W3CDTF">2015-06-05T18:19:34Z</dcterms:created>
  <dcterms:modified xsi:type="dcterms:W3CDTF">2025-10-03T12:21:05Z</dcterms:modified>
</cp:coreProperties>
</file>